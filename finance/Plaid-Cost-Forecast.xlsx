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id Cost Forecast" sheetId="1" state="visible" r:id="rId3"/>
    <sheet name="Real-Time Refresh Econom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<sst xmlns="http://schemas.openxmlformats.org/spreadsheetml/2006/main" count="74" uniqueCount="72">
  <si>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Naviio — Plaid Cost Forecast (your live rate card)</t>
  </si>
  <si>
    <t xml:space="preserve">Source: your Plaid Contracts &amp; Rates, contract created Jun 3, 2026. Blue = editable.</t>
  </si>
  <si>
    <t xml:space="preserve">RATE CARD  (your Plaid contract)</t>
  </si>
  <si>
    <t xml:space="preserve">Transactions ($ / connected account / month)</t>
  </si>
  <si>
    <t xml:space="preserve">Recurring Transactions ($ / connected account / month)</t>
  </si>
  <si>
    <t xml:space="preserve">Transactions Refresh ($ / successful call)</t>
  </si>
  <si>
    <t xml:space="preserve">Auth ($ / initial call)</t>
  </si>
  <si>
    <t xml:space="preserve">Balance ($ / call)</t>
  </si>
  <si>
    <t xml:space="preserve">USAGE ASSUMPTIONS  (edit to your behavior)</t>
  </si>
  <si>
    <t xml:space="preserve">Connected accounts per customer</t>
  </si>
  <si>
    <t xml:space="preserve">Balance calls per customer / month</t>
  </si>
  <si>
    <t xml:space="preserve">Recurring Transactions enabled? (1=yes, 0=no)</t>
  </si>
  <si>
    <t xml:space="preserve">Transactions Refresh calls per customer / month</t>
  </si>
  <si>
    <t xml:space="preserve">Auth initial calls per NEW customer (one-time)</t>
  </si>
  <si>
    <t xml:space="preserve">COST PER CUSTOMER</t>
  </si>
  <si>
    <t xml:space="preserve">Transactions / month</t>
  </si>
  <si>
    <t xml:space="preserve">Recurring Transactions / month</t>
  </si>
  <si>
    <t xml:space="preserve">Balance / month</t>
  </si>
  <si>
    <t xml:space="preserve">Transactions Refresh / month</t>
  </si>
  <si>
    <t xml:space="preserve">Total recurring / customer / month</t>
  </si>
  <si>
    <t xml:space="preserve">One-time Auth at onboarding / customer</t>
  </si>
  <si>
    <t xml:space="preserve">FORECAST BY CUSTOMER COUNT</t>
  </si>
  <si>
    <t xml:space="preserve">Customers →</t>
  </si>
  <si>
    <t xml:space="preserve">Connected accounts</t>
  </si>
  <si>
    <t xml:space="preserve">Total Plaid cost / month</t>
  </si>
  <si>
    <t xml:space="preserve">Total Plaid cost / YEAR</t>
  </si>
  <si>
    <t xml:space="preserve">Plaid cost / customer / month</t>
  </si>
  <si>
    <t xml:space="preserve">One-time Auth cost (if enabled)</t>
  </si>
  <si>
    <t xml:space="preserve">NOTES</t>
  </si>
  <si>
    <t xml:space="preserve">1. Rates are from YOUR Plaid contract (Contracts &amp; Rates, created Jun 3, 2026). Transactions $0.30, Recurring Transactions $0.15 (per connected account/mo), Transactions Refresh $0.12/call, Auth $1.50/initial call, Balance $0.10/call.</t>
  </si>
  <si>
    <t xml:space="preserve">2. Naviio TODAY calls only Transactions (daily /transactions/sync) and Balance. Auth, Recurring Transactions and Transactions Refresh are contracted but NOT called by the app, so they default to 0 here. Flip the usage cells to model enabling them.</t>
  </si>
  <si>
    <t xml:space="preserve">3. Balance is the dominant cost (~$3.00 of ~$3.45 per customer/mo at the defaults). The biggest lever is how often you call Balance - it is already cached; reducing refresh frequency cuts cost fastest.</t>
  </si>
  <si>
    <t xml:space="preserve">4. Transactions is billed per connected account per month regardless of how often you sync - the daily 6am cron does NOT add per-call cost.</t>
  </si>
  <si>
    <t xml:space="preserve">5. No monthly minimum / platform fee appears on your rate card. If your Order has one, it is not reflected here - it would set a floor at low customer counts.</t>
  </si>
  <si>
    <t xml:space="preserve">6. Per MSA s.3.2, Plaid may raise unit rates with 30 days notice (capped at CPI); Orders auto-renew for 12 months.</t>
  </si>
  <si>
    <t xml:space="preserve">Real-Time Refresh — Credit Economics</t>
  </si>
  <si>
    <t xml:space="preserve">Charge users credits to trigger a live Plaid refresh. Your cost is incurred only on use. Blue = editable.</t>
  </si>
  <si>
    <t xml:space="preserve">INPUTS  (edit blue cells)</t>
  </si>
  <si>
    <t xml:space="preserve">Transactions Refresh cost to you ($ / call)</t>
  </si>
  <si>
    <t xml:space="preserve">Credits charged per refresh call</t>
  </si>
  <si>
    <t xml:space="preserve">Credit value — Starter pack ($ / credit)</t>
  </si>
  <si>
    <t xml:space="preserve">Credit value — Growth pack ($ / credit)</t>
  </si>
  <si>
    <t xml:space="preserve">Credit value — Scale pack ($ / credit)</t>
  </si>
  <si>
    <t xml:space="preserve">UNIT ECONOMICS PER REFRESH CALL</t>
  </si>
  <si>
    <t xml:space="preserve">Tier →</t>
  </si>
  <si>
    <t xml:space="preserve">Starter</t>
  </si>
  <si>
    <t xml:space="preserve">Growth</t>
  </si>
  <si>
    <t xml:space="preserve">Scale</t>
  </si>
  <si>
    <t xml:space="preserve">Revenue per call</t>
  </si>
  <si>
    <t xml:space="preserve">Cost per call</t>
  </si>
  <si>
    <t xml:space="preserve">Gross profit per call</t>
  </si>
  <si>
    <t xml:space="preserve">Gross margin</t>
  </si>
  <si>
    <t xml:space="preserve">Break-even credits per call</t>
  </si>
  <si>
    <t xml:space="preserve">PER CUSTOMER USING THE FEATURE</t>
  </si>
  <si>
    <t xml:space="preserve">Connected accounts (Items) per customer</t>
  </si>
  <si>
    <t xml:space="preserve">Refresh actions per customer / month</t>
  </si>
  <si>
    <t xml:space="preserve">Refresh calls / customer / month</t>
  </si>
  <si>
    <t xml:space="preserve">Cost / customer / month</t>
  </si>
  <si>
    <t xml:space="preserve">Revenue / customer / month (Growth tier)</t>
  </si>
  <si>
    <t xml:space="preserve">Gross profit / customer / month</t>
  </si>
  <si>
    <t xml:space="preserve">FORECAST — CUSTOMERS USING REAL-TIME FEED</t>
  </si>
  <si>
    <t xml:space="preserve">Your Plaid cost / month</t>
  </si>
  <si>
    <t xml:space="preserve">Credit revenue / month</t>
  </si>
  <si>
    <t xml:space="preserve">Gross profit / month</t>
  </si>
  <si>
    <t xml:space="preserve">Gross profit / YEAR</t>
  </si>
  <si>
    <t xml:space="preserve">RECOMMENDATION</t>
  </si>
  <si>
    <t xml:space="preserve">Charge 3 credits per refresh call. Break-even is 2.0 credits even at the deepest pack discount (Scale, $0.06/credit), so 3 credits keeps a healthy margin (33% at Scale up to 60% at Starter) across ALL pack tiers.</t>
  </si>
  <si>
    <t xml:space="preserve">Build margin into CREDITS-PER-ACTION, not the credit price. Bulk packs discount the credit value to $0.06; as long as credits-per-call x $0.06 &gt; your $0.12 cost, you never sell a refresh below cost.</t>
  </si>
  <si>
    <t xml:space="preserve">Bill per CALL (per connected Item). A "refresh all" for a 1.5-Item customer = ~1.5 calls; charging per call keeps price tied 1:1 to your Plaid cost.</t>
  </si>
  <si>
    <t xml:space="preserve">Credits self-throttle abuse: a user hammering refresh spends their own credits, so runaway Plaid cost is impossible - your revenue always leads your cost.</t>
  </si>
  <si>
    <t xml:space="preserve">Keep the free daily scheduled sync (Transactions, already paid in the $0.30/mo subscription). Real-time refresh is the paid upgrade ON TOP, so free users cost you the minimum.</t>
  </si>
  <si>
    <t xml:space="preserve">Source for $0.12 Transactions Refresh: your Plaid rate card (Contracts &amp; Rates, Jun 3 2026).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</si>
</sst>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"/>
    <numFmt numFmtId="167" formatCode="#,##0"/>
    <numFmt numFmtId="168" formatCode="0"/>
    <numFmt numFmtId="169" formatCode="\$#,##0"/>
    <numFmt numFmtId="170" formatCode="\$#,##0.00"/>
    <numFmt numFmtId="171" formatCode="0%"/>
    <numFmt numFmtId="172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0808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</row>
    <row r="5" customFormat="false" ht="15" hidden="false" customHeight="true" outlineLevel="0" collapsed="false">
      <c r="A5" s="5" t="s">
        <v>3</v>
      </c>
      <c r="B5" s="6" t="n">
        <v>0.3</v>
      </c>
    </row>
    <row r="6" customFormat="false" ht="15" hidden="false" customHeight="true" outlineLevel="0" collapsed="false">
      <c r="A6" s="5" t="s">
        <v>4</v>
      </c>
      <c r="B6" s="6" t="n">
        <v>0.15</v>
      </c>
    </row>
    <row r="7" customFormat="false" ht="15" hidden="false" customHeight="true" outlineLevel="0" collapsed="false">
      <c r="A7" s="5" t="s">
        <v>5</v>
      </c>
      <c r="B7" s="6" t="n">
        <v>0.12</v>
      </c>
    </row>
    <row r="8" customFormat="false" ht="15" hidden="false" customHeight="true" outlineLevel="0" collapsed="false">
      <c r="A8" s="5" t="s">
        <v>6</v>
      </c>
      <c r="B8" s="6" t="n">
        <v>1.5</v>
      </c>
    </row>
    <row r="9" customFormat="false" ht="15" hidden="false" customHeight="true" outlineLevel="0" collapsed="false">
      <c r="A9" s="5" t="s">
        <v>7</v>
      </c>
      <c r="B9" s="6" t="n">
        <v>0.1</v>
      </c>
    </row>
    <row r="11" customFormat="false" ht="15" hidden="false" customHeight="true" outlineLevel="0" collapsed="false">
      <c r="A11" s="4" t="s">
        <v>8</v>
      </c>
      <c r="B11" s="4"/>
    </row>
    <row r="12" customFormat="false" ht="15" hidden="false" customHeight="true" outlineLevel="0" collapsed="false">
      <c r="A12" s="5" t="s">
        <v>9</v>
      </c>
      <c r="B12" s="7" t="n">
        <v>1.5</v>
      </c>
    </row>
    <row r="13" customFormat="false" ht="15" hidden="false" customHeight="true" outlineLevel="0" collapsed="false">
      <c r="A13" s="5" t="s">
        <v>10</v>
      </c>
      <c r="B13" s="8" t="n">
        <v>30</v>
      </c>
    </row>
    <row r="14" customFormat="false" ht="15" hidden="false" customHeight="true" outlineLevel="0" collapsed="false">
      <c r="A14" s="5" t="s">
        <v>11</v>
      </c>
      <c r="B14" s="9" t="n">
        <v>0</v>
      </c>
    </row>
    <row r="15" customFormat="false" ht="15" hidden="false" customHeight="true" outlineLevel="0" collapsed="false">
      <c r="A15" s="5" t="s">
        <v>12</v>
      </c>
      <c r="B15" s="8" t="n">
        <v>0</v>
      </c>
    </row>
    <row r="16" customFormat="false" ht="15" hidden="false" customHeight="true" outlineLevel="0" collapsed="false">
      <c r="A16" s="5" t="s">
        <v>13</v>
      </c>
      <c r="B16" s="8" t="n">
        <v>0</v>
      </c>
    </row>
    <row r="18" customFormat="false" ht="15" hidden="false" customHeight="true" outlineLevel="0" collapsed="false">
      <c r="A18" s="4" t="s">
        <v>14</v>
      </c>
      <c r="B18" s="4"/>
    </row>
    <row r="19" customFormat="false" ht="15" hidden="false" customHeight="true" outlineLevel="0" collapsed="false">
      <c r="A19" s="5" t="s">
        <v>15</v>
      </c>
      <c r="B19" s="10" t="n">
        <f aca="false">B12*B5</f>
        <v>0.45</v>
      </c>
    </row>
    <row r="20" customFormat="false" ht="15" hidden="false" customHeight="true" outlineLevel="0" collapsed="false">
      <c r="A20" s="5" t="s">
        <v>16</v>
      </c>
      <c r="B20" s="10" t="n">
        <f aca="false">B12*B6*B14</f>
        <v>0</v>
      </c>
    </row>
    <row r="21" customFormat="false" ht="15" hidden="false" customHeight="true" outlineLevel="0" collapsed="false">
      <c r="A21" s="5" t="s">
        <v>17</v>
      </c>
      <c r="B21" s="10" t="n">
        <f aca="false">B13*B9</f>
        <v>3</v>
      </c>
    </row>
    <row r="22" customFormat="false" ht="15" hidden="false" customHeight="true" outlineLevel="0" collapsed="false">
      <c r="A22" s="5" t="s">
        <v>18</v>
      </c>
      <c r="B22" s="10" t="n">
        <f aca="false">B15*B7</f>
        <v>0</v>
      </c>
    </row>
    <row r="23" customFormat="false" ht="15" hidden="false" customHeight="true" outlineLevel="0" collapsed="false">
      <c r="A23" s="11" t="s">
        <v>19</v>
      </c>
      <c r="B23" s="12" t="n">
        <f aca="false">SUM(B19:B22)</f>
        <v>3.45</v>
      </c>
    </row>
    <row r="24" customFormat="false" ht="15" hidden="false" customHeight="true" outlineLevel="0" collapsed="false">
      <c r="A24" s="13" t="s">
        <v>20</v>
      </c>
      <c r="B24" s="14" t="n">
        <f aca="false">B16*B8</f>
        <v>0</v>
      </c>
    </row>
    <row r="26" customFormat="false" ht="15" hidden="false" customHeight="true" outlineLevel="0" collapsed="false">
      <c r="A26" s="4" t="s">
        <v>21</v>
      </c>
      <c r="B26" s="4"/>
      <c r="C26" s="4"/>
      <c r="D26" s="4"/>
      <c r="E26" s="4"/>
      <c r="F26" s="4"/>
    </row>
    <row r="27" customFormat="false" ht="15" hidden="false" customHeight="true" outlineLevel="0" collapsed="false">
      <c r="A27" s="15" t="s">
        <v>22</v>
      </c>
      <c r="B27" s="16" t="n">
        <v>1</v>
      </c>
      <c r="C27" s="16" t="n">
        <v>10</v>
      </c>
      <c r="D27" s="16" t="n">
        <v>20</v>
      </c>
      <c r="E27" s="16" t="n">
        <v>50</v>
      </c>
      <c r="F27" s="16" t="n">
        <v>100</v>
      </c>
    </row>
    <row r="28" customFormat="false" ht="15" hidden="false" customHeight="true" outlineLevel="0" collapsed="false">
      <c r="A28" s="17" t="s">
        <v>23</v>
      </c>
      <c r="B28" s="18" t="n">
        <f aca="false">B27*$B$12</f>
        <v>1.5</v>
      </c>
      <c r="C28" s="18" t="n">
        <f aca="false">C27*$B$12</f>
        <v>15</v>
      </c>
      <c r="D28" s="18" t="n">
        <f aca="false">D27*$B$12</f>
        <v>30</v>
      </c>
      <c r="E28" s="18" t="n">
        <f aca="false">E27*$B$12</f>
        <v>75</v>
      </c>
      <c r="F28" s="18" t="n">
        <f aca="false">F27*$B$12</f>
        <v>150</v>
      </c>
    </row>
    <row r="29" customFormat="false" ht="15" hidden="false" customHeight="true" outlineLevel="0" collapsed="false">
      <c r="A29" s="19" t="s">
        <v>24</v>
      </c>
      <c r="B29" s="20" t="n">
        <f aca="false">B27*$B$23</f>
        <v>3.45</v>
      </c>
      <c r="C29" s="20" t="n">
        <f aca="false">C27*$B$23</f>
        <v>34.5</v>
      </c>
      <c r="D29" s="20" t="n">
        <f aca="false">D27*$B$23</f>
        <v>69</v>
      </c>
      <c r="E29" s="20" t="n">
        <f aca="false">E27*$B$23</f>
        <v>172.5</v>
      </c>
      <c r="F29" s="20" t="n">
        <f aca="false">F27*$B$23</f>
        <v>345</v>
      </c>
    </row>
    <row r="30" customFormat="false" ht="15" hidden="false" customHeight="true" outlineLevel="0" collapsed="false">
      <c r="A30" s="19" t="s">
        <v>25</v>
      </c>
      <c r="B30" s="20" t="n">
        <f aca="false">B29*12</f>
        <v>41.4</v>
      </c>
      <c r="C30" s="20" t="n">
        <f aca="false">C29*12</f>
        <v>414</v>
      </c>
      <c r="D30" s="20" t="n">
        <f aca="false">D29*12</f>
        <v>828</v>
      </c>
      <c r="E30" s="20" t="n">
        <f aca="false">E29*12</f>
        <v>2070</v>
      </c>
      <c r="F30" s="20" t="n">
        <f aca="false">F29*12</f>
        <v>4140</v>
      </c>
    </row>
    <row r="31" customFormat="false" ht="15" hidden="false" customHeight="true" outlineLevel="0" collapsed="false">
      <c r="A31" s="17" t="s">
        <v>26</v>
      </c>
      <c r="B31" s="21" t="n">
        <f aca="false">$B$23</f>
        <v>3.45</v>
      </c>
      <c r="C31" s="21" t="n">
        <f aca="false">$B$23</f>
        <v>3.45</v>
      </c>
      <c r="D31" s="21" t="n">
        <f aca="false">$B$23</f>
        <v>3.45</v>
      </c>
      <c r="E31" s="21" t="n">
        <f aca="false">$B$23</f>
        <v>3.45</v>
      </c>
      <c r="F31" s="21" t="n">
        <f aca="false">$B$23</f>
        <v>3.45</v>
      </c>
    </row>
    <row r="32" customFormat="false" ht="15" hidden="false" customHeight="true" outlineLevel="0" collapsed="false">
      <c r="A32" s="22" t="s">
        <v>27</v>
      </c>
      <c r="B32" s="23" t="n">
        <f aca="false">B27*$B$24</f>
        <v>0</v>
      </c>
      <c r="C32" s="23" t="n">
        <f aca="false">C27*$B$24</f>
        <v>0</v>
      </c>
      <c r="D32" s="23" t="n">
        <f aca="false">D27*$B$24</f>
        <v>0</v>
      </c>
      <c r="E32" s="23" t="n">
        <f aca="false">E27*$B$24</f>
        <v>0</v>
      </c>
      <c r="F32" s="23" t="n">
        <f aca="false">F27*$B$24</f>
        <v>0</v>
      </c>
    </row>
    <row r="34" customFormat="false" ht="15" hidden="false" customHeight="true" outlineLevel="0" collapsed="false">
      <c r="A34" s="4" t="s">
        <v>28</v>
      </c>
      <c r="B34" s="4"/>
      <c r="C34" s="4"/>
      <c r="D34" s="4"/>
      <c r="E34" s="4"/>
      <c r="F34" s="4"/>
    </row>
    <row r="35" customFormat="false" ht="30" hidden="false" customHeight="true" outlineLevel="0" collapsed="false">
      <c r="A35" s="24" t="s">
        <v>29</v>
      </c>
      <c r="B35" s="24"/>
      <c r="C35" s="24"/>
      <c r="D35" s="24"/>
      <c r="E35" s="24"/>
      <c r="F35" s="24"/>
    </row>
    <row r="36" customFormat="false" ht="30" hidden="false" customHeight="true" outlineLevel="0" collapsed="false">
      <c r="A36" s="24" t="s">
        <v>30</v>
      </c>
      <c r="B36" s="24"/>
      <c r="C36" s="24"/>
      <c r="D36" s="24"/>
      <c r="E36" s="24"/>
      <c r="F36" s="24"/>
    </row>
    <row r="37" customFormat="false" ht="30" hidden="false" customHeight="true" outlineLevel="0" collapsed="false">
      <c r="A37" s="24" t="s">
        <v>31</v>
      </c>
      <c r="B37" s="24"/>
      <c r="C37" s="24"/>
      <c r="D37" s="24"/>
      <c r="E37" s="24"/>
      <c r="F37" s="24"/>
    </row>
    <row r="38" customFormat="false" ht="30" hidden="false" customHeight="true" outlineLevel="0" collapsed="false">
      <c r="A38" s="24" t="s">
        <v>32</v>
      </c>
      <c r="B38" s="24"/>
      <c r="C38" s="24"/>
      <c r="D38" s="24"/>
      <c r="E38" s="24"/>
      <c r="F38" s="24"/>
    </row>
    <row r="39" customFormat="false" ht="30" hidden="false" customHeight="true" outlineLevel="0" collapsed="false">
      <c r="A39" s="24" t="s">
        <v>33</v>
      </c>
      <c r="B39" s="24"/>
      <c r="C39" s="24"/>
      <c r="D39" s="24"/>
      <c r="E39" s="24"/>
      <c r="F39" s="24"/>
    </row>
    <row r="40" customFormat="false" ht="30" hidden="false" customHeight="true" outlineLevel="0" collapsed="false">
      <c r="A40" s="24" t="s">
        <v>34</v>
      </c>
      <c r="B40" s="24"/>
      <c r="C40" s="24"/>
      <c r="D40" s="24"/>
      <c r="E40" s="24"/>
      <c r="F40" s="24"/>
    </row>
  </sheetData>
  <mergeCells count="13">
    <mergeCell ref="A1:F1"/>
    <mergeCell ref="A2:F2"/>
    <mergeCell ref="A4:B4"/>
    <mergeCell ref="A11:B11"/>
    <mergeCell ref="A18:B18"/>
    <mergeCell ref="A26:F26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2" t="s">
        <v>35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5" t="s">
        <v>36</v>
      </c>
      <c r="B2" s="25"/>
      <c r="C2" s="25"/>
      <c r="D2" s="25"/>
      <c r="E2" s="25"/>
      <c r="F2" s="25"/>
    </row>
    <row r="4" customFormat="false" ht="15" hidden="false" customHeight="false" outlineLevel="0" collapsed="false">
      <c r="A4" s="26" t="s">
        <v>37</v>
      </c>
      <c r="B4" s="26"/>
    </row>
    <row r="5" customFormat="false" ht="15" hidden="false" customHeight="false" outlineLevel="0" collapsed="false">
      <c r="A5" s="27" t="s">
        <v>38</v>
      </c>
      <c r="B5" s="28" t="n">
        <v>0.12</v>
      </c>
    </row>
    <row r="6" customFormat="false" ht="15" hidden="false" customHeight="false" outlineLevel="0" collapsed="false">
      <c r="A6" s="27" t="s">
        <v>39</v>
      </c>
      <c r="B6" s="29" t="n">
        <v>3</v>
      </c>
    </row>
    <row r="7" customFormat="false" ht="15" hidden="false" customHeight="false" outlineLevel="0" collapsed="false">
      <c r="A7" s="27" t="s">
        <v>40</v>
      </c>
      <c r="B7" s="28" t="n">
        <v>0.1</v>
      </c>
    </row>
    <row r="8" customFormat="false" ht="15" hidden="false" customHeight="false" outlineLevel="0" collapsed="false">
      <c r="A8" s="27" t="s">
        <v>41</v>
      </c>
      <c r="B8" s="28" t="n">
        <v>0.08</v>
      </c>
    </row>
    <row r="9" customFormat="false" ht="15" hidden="false" customHeight="false" outlineLevel="0" collapsed="false">
      <c r="A9" s="27" t="s">
        <v>42</v>
      </c>
      <c r="B9" s="28" t="n">
        <v>0.06</v>
      </c>
    </row>
    <row r="11" customFormat="false" ht="15" hidden="false" customHeight="false" outlineLevel="0" collapsed="false">
      <c r="A11" s="26" t="s">
        <v>43</v>
      </c>
      <c r="B11" s="26"/>
      <c r="C11" s="26"/>
      <c r="D11" s="26"/>
      <c r="E11" s="26"/>
      <c r="F11" s="26"/>
    </row>
    <row r="12" customFormat="false" ht="15" hidden="false" customHeight="false" outlineLevel="0" collapsed="false">
      <c r="A12" s="30" t="s">
        <v>44</v>
      </c>
      <c r="B12" s="31" t="s">
        <v>45</v>
      </c>
      <c r="C12" s="31" t="s">
        <v>46</v>
      </c>
      <c r="D12" s="31" t="s">
        <v>47</v>
      </c>
    </row>
    <row r="13" customFormat="false" ht="15" hidden="false" customHeight="false" outlineLevel="0" collapsed="false">
      <c r="A13" s="27" t="s">
        <v>48</v>
      </c>
      <c r="B13" s="32" t="n">
        <f aca="false">$B$6*B7</f>
        <v>0.3</v>
      </c>
      <c r="C13" s="32" t="n">
        <f aca="false">$B$6*B8</f>
        <v>0.24</v>
      </c>
      <c r="D13" s="32" t="n">
        <f aca="false">$B$6*B9</f>
        <v>0.18</v>
      </c>
    </row>
    <row r="14" customFormat="false" ht="15" hidden="false" customHeight="false" outlineLevel="0" collapsed="false">
      <c r="A14" s="27" t="s">
        <v>49</v>
      </c>
      <c r="B14" s="32" t="n">
        <f aca="false">$B$5</f>
        <v>0.12</v>
      </c>
      <c r="C14" s="32" t="n">
        <f aca="false">$B$5</f>
        <v>0.12</v>
      </c>
      <c r="D14" s="32" t="n">
        <f aca="false">$B$5</f>
        <v>0.12</v>
      </c>
    </row>
    <row r="15" customFormat="false" ht="15" hidden="false" customHeight="false" outlineLevel="0" collapsed="false">
      <c r="A15" s="33" t="s">
        <v>50</v>
      </c>
      <c r="B15" s="34" t="n">
        <f aca="false">B13-B14</f>
        <v>0.18</v>
      </c>
      <c r="C15" s="34" t="n">
        <f aca="false">C13-C14</f>
        <v>0.12</v>
      </c>
      <c r="D15" s="34" t="n">
        <f aca="false">D13-D14</f>
        <v>0.06</v>
      </c>
    </row>
    <row r="16" customFormat="false" ht="15" hidden="false" customHeight="false" outlineLevel="0" collapsed="false">
      <c r="A16" s="27" t="s">
        <v>51</v>
      </c>
      <c r="B16" s="35" t="n">
        <f aca="false">B15/B13</f>
        <v>0.6</v>
      </c>
      <c r="C16" s="35" t="n">
        <f aca="false">C15/C13</f>
        <v>0.5</v>
      </c>
      <c r="D16" s="35" t="n">
        <f aca="false">D15/D13</f>
        <v>0.333333333333333</v>
      </c>
    </row>
    <row r="17" customFormat="false" ht="15" hidden="false" customHeight="false" outlineLevel="0" collapsed="false">
      <c r="A17" s="27" t="s">
        <v>52</v>
      </c>
      <c r="B17" s="18" t="n">
        <f aca="false">$B$5/B7</f>
        <v>1.2</v>
      </c>
      <c r="C17" s="18" t="n">
        <f aca="false">$B$5/B8</f>
        <v>1.5</v>
      </c>
      <c r="D17" s="18" t="n">
        <f aca="false">$B$5/B9</f>
        <v>2</v>
      </c>
    </row>
    <row r="19" customFormat="false" ht="15" hidden="false" customHeight="false" outlineLevel="0" collapsed="false">
      <c r="A19" s="26" t="s">
        <v>53</v>
      </c>
      <c r="B19" s="26"/>
    </row>
    <row r="20" customFormat="false" ht="15" hidden="false" customHeight="false" outlineLevel="0" collapsed="false">
      <c r="A20" s="27" t="s">
        <v>54</v>
      </c>
      <c r="B20" s="36" t="n">
        <v>1.5</v>
      </c>
    </row>
    <row r="21" customFormat="false" ht="15" hidden="false" customHeight="false" outlineLevel="0" collapsed="false">
      <c r="A21" s="27" t="s">
        <v>55</v>
      </c>
      <c r="B21" s="29" t="n">
        <v>20</v>
      </c>
    </row>
    <row r="22" customFormat="false" ht="15" hidden="false" customHeight="false" outlineLevel="0" collapsed="false">
      <c r="A22" s="27" t="s">
        <v>56</v>
      </c>
      <c r="B22" s="37" t="n">
        <f aca="false">B20*B21</f>
        <v>30</v>
      </c>
    </row>
    <row r="23" customFormat="false" ht="15" hidden="false" customHeight="false" outlineLevel="0" collapsed="false">
      <c r="A23" s="27" t="s">
        <v>57</v>
      </c>
      <c r="B23" s="38" t="n">
        <f aca="false">B22*B5</f>
        <v>3.6</v>
      </c>
    </row>
    <row r="24" customFormat="false" ht="15" hidden="false" customHeight="false" outlineLevel="0" collapsed="false">
      <c r="A24" s="27" t="s">
        <v>58</v>
      </c>
      <c r="B24" s="38" t="n">
        <f aca="false">B22*B6*B8</f>
        <v>7.2</v>
      </c>
    </row>
    <row r="25" customFormat="false" ht="15" hidden="false" customHeight="false" outlineLevel="0" collapsed="false">
      <c r="A25" s="33" t="s">
        <v>59</v>
      </c>
      <c r="B25" s="39" t="n">
        <f aca="false">B24-B23</f>
        <v>3.6</v>
      </c>
    </row>
    <row r="26" customFormat="false" ht="15" hidden="false" customHeight="false" outlineLevel="0" collapsed="false">
      <c r="A26" s="27" t="s">
        <v>51</v>
      </c>
      <c r="B26" s="40" t="n">
        <f aca="false">B25/B24</f>
        <v>0.5</v>
      </c>
    </row>
    <row r="28" customFormat="false" ht="15" hidden="false" customHeight="false" outlineLevel="0" collapsed="false">
      <c r="A28" s="26" t="s">
        <v>60</v>
      </c>
      <c r="B28" s="26"/>
      <c r="C28" s="26"/>
      <c r="D28" s="26"/>
      <c r="E28" s="26"/>
      <c r="F28" s="26"/>
    </row>
    <row r="29" customFormat="false" ht="15" hidden="false" customHeight="false" outlineLevel="0" collapsed="false">
      <c r="A29" s="30" t="s">
        <v>22</v>
      </c>
      <c r="B29" s="16" t="n">
        <v>1</v>
      </c>
      <c r="C29" s="16" t="n">
        <v>10</v>
      </c>
      <c r="D29" s="16" t="n">
        <v>20</v>
      </c>
      <c r="E29" s="16" t="n">
        <v>50</v>
      </c>
      <c r="F29" s="16" t="n">
        <v>100</v>
      </c>
    </row>
    <row r="30" customFormat="false" ht="15" hidden="false" customHeight="false" outlineLevel="0" collapsed="false">
      <c r="A30" s="41" t="s">
        <v>61</v>
      </c>
      <c r="B30" s="42" t="n">
        <f aca="false">B29*$B$23</f>
        <v>3.6</v>
      </c>
      <c r="C30" s="42" t="n">
        <f aca="false">C29*$B$23</f>
        <v>36</v>
      </c>
      <c r="D30" s="42" t="n">
        <f aca="false">D29*$B$23</f>
        <v>72</v>
      </c>
      <c r="E30" s="42" t="n">
        <f aca="false">E29*$B$23</f>
        <v>180</v>
      </c>
      <c r="F30" s="42" t="n">
        <f aca="false">F29*$B$23</f>
        <v>360</v>
      </c>
    </row>
    <row r="31" customFormat="false" ht="15" hidden="false" customHeight="false" outlineLevel="0" collapsed="false">
      <c r="A31" s="41" t="s">
        <v>62</v>
      </c>
      <c r="B31" s="42" t="n">
        <f aca="false">B29*$B$24</f>
        <v>7.2</v>
      </c>
      <c r="C31" s="42" t="n">
        <f aca="false">C29*$B$24</f>
        <v>72</v>
      </c>
      <c r="D31" s="42" t="n">
        <f aca="false">D29*$B$24</f>
        <v>144</v>
      </c>
      <c r="E31" s="42" t="n">
        <f aca="false">E29*$B$24</f>
        <v>360</v>
      </c>
      <c r="F31" s="42" t="n">
        <f aca="false">F29*$B$24</f>
        <v>720</v>
      </c>
    </row>
    <row r="32" customFormat="false" ht="15" hidden="false" customHeight="false" outlineLevel="0" collapsed="false">
      <c r="A32" s="43" t="s">
        <v>63</v>
      </c>
      <c r="B32" s="44" t="n">
        <f aca="false">B29*$B$25</f>
        <v>3.6</v>
      </c>
      <c r="C32" s="44" t="n">
        <f aca="false">C29*$B$25</f>
        <v>36</v>
      </c>
      <c r="D32" s="44" t="n">
        <f aca="false">D29*$B$25</f>
        <v>72</v>
      </c>
      <c r="E32" s="44" t="n">
        <f aca="false">E29*$B$25</f>
        <v>180</v>
      </c>
      <c r="F32" s="44" t="n">
        <f aca="false">F29*$B$25</f>
        <v>360</v>
      </c>
    </row>
    <row r="33" customFormat="false" ht="15" hidden="false" customHeight="false" outlineLevel="0" collapsed="false">
      <c r="A33" s="43" t="s">
        <v>64</v>
      </c>
      <c r="B33" s="44" t="n">
        <f aca="false">B32*12</f>
        <v>43.2</v>
      </c>
      <c r="C33" s="44" t="n">
        <f aca="false">C32*12</f>
        <v>432</v>
      </c>
      <c r="D33" s="44" t="n">
        <f aca="false">D32*12</f>
        <v>864</v>
      </c>
      <c r="E33" s="44" t="n">
        <f aca="false">E32*12</f>
        <v>2160</v>
      </c>
      <c r="F33" s="44" t="n">
        <f aca="false">F32*12</f>
        <v>4320</v>
      </c>
    </row>
    <row r="35" customFormat="false" ht="15" hidden="false" customHeight="false" outlineLevel="0" collapsed="false">
      <c r="A35" s="26" t="s">
        <v>65</v>
      </c>
      <c r="B35" s="26"/>
      <c r="C35" s="26"/>
      <c r="D35" s="26"/>
      <c r="E35" s="26"/>
      <c r="F35" s="26"/>
    </row>
    <row r="36" customFormat="false" ht="30" hidden="false" customHeight="true" outlineLevel="0" collapsed="false">
      <c r="A36" s="24" t="s">
        <v>66</v>
      </c>
      <c r="B36" s="24"/>
      <c r="C36" s="24"/>
      <c r="D36" s="24"/>
      <c r="E36" s="24"/>
      <c r="F36" s="24"/>
    </row>
    <row r="37" customFormat="false" ht="30" hidden="false" customHeight="true" outlineLevel="0" collapsed="false">
      <c r="A37" s="24" t="s">
        <v>67</v>
      </c>
      <c r="B37" s="24"/>
      <c r="C37" s="24"/>
      <c r="D37" s="24"/>
      <c r="E37" s="24"/>
      <c r="F37" s="24"/>
    </row>
    <row r="38" customFormat="false" ht="30" hidden="false" customHeight="true" outlineLevel="0" collapsed="false">
      <c r="A38" s="24" t="s">
        <v>68</v>
      </c>
      <c r="B38" s="24"/>
      <c r="C38" s="24"/>
      <c r="D38" s="24"/>
      <c r="E38" s="24"/>
      <c r="F38" s="24"/>
    </row>
    <row r="39" customFormat="false" ht="30" hidden="false" customHeight="true" outlineLevel="0" collapsed="false">
      <c r="A39" s="24" t="s">
        <v>69</v>
      </c>
      <c r="B39" s="24"/>
      <c r="C39" s="24"/>
      <c r="D39" s="24"/>
      <c r="E39" s="24"/>
      <c r="F39" s="24"/>
    </row>
    <row r="40" customFormat="false" ht="30" hidden="false" customHeight="true" outlineLevel="0" collapsed="false">
      <c r="A40" s="24" t="s">
        <v>70</v>
      </c>
      <c r="B40" s="24"/>
      <c r="C40" s="24"/>
      <c r="D40" s="24"/>
      <c r="E40" s="24"/>
      <c r="F40" s="24"/>
    </row>
    <row r="41" customFormat="false" ht="30" hidden="false" customHeight="true" outlineLevel="0" collapsed="false">
      <c r="A41" s="24" t="s">
        <v>71</v>
      </c>
      <c r="B41" s="24"/>
      <c r="C41" s="24"/>
      <c r="D41" s="24"/>
      <c r="E41" s="24"/>
      <c r="F41" s="24"/>
    </row>
  </sheetData>
  <mergeCells count="13">
    <mergeCell ref="A1:F1"/>
    <mergeCell ref="A2:F2"/>
    <mergeCell ref="A4:B4"/>
    <mergeCell ref="A11:F11"/>
    <mergeCell ref="A19:B19"/>
    <mergeCell ref="A28:F28"/>
    <mergeCell ref="A35:F35"/>
    <mergeCell ref="A36:F36"/>
    <mergeCell ref="A37:F37"/>
    <mergeCell ref="A38:F38"/>
    <mergeCell ref="A39:F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2026-06-10T19:02:44Z</dcterms:created>
  <dc:creator>openpyxl</dc:creator>
  <dc:description/>
  <dc:language>en-US</dc:language>
  <cp:lastModifiedBy/>
  <dcterms:modified xsi:type="dcterms:W3CDTF">2026-06-10T19:07:16Z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